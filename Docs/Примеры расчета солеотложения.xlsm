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1102" codeName="{DD97A8EA-9A9A-E61F-A557-7D5A7D7259CE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/Users/uralgimazov/Desktop/Python/Calculator Petroleum/"/>
    </mc:Choice>
  </mc:AlternateContent>
  <xr:revisionPtr revIDLastSave="0" documentId="13_ncr:1_{E4F076F8-5979-CD45-AFDF-A2DA4BD997C1}" xr6:coauthVersionLast="47" xr6:coauthVersionMax="47" xr10:uidLastSave="{00000000-0000-0000-0000-000000000000}"/>
  <bookViews>
    <workbookView xWindow="3860" yWindow="2200" windowWidth="17880" windowHeight="11520" xr2:uid="{00000000-000D-0000-FFFF-FFFF00000000}"/>
  </bookViews>
  <sheets>
    <sheet name="Расчеты солей" sheetId="17" r:id="rId1"/>
  </sheets>
  <definedNames>
    <definedName name="_xlnm._FilterDatabase" localSheetId="0" hidden="1">'Расчеты солей'!$A$5:$V$5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8" i="17" l="1" a="1"/>
  <c r="P7" i="17" a="1"/>
  <c r="P18" i="17" a="1"/>
  <c r="P6" i="17" a="1"/>
  <c r="P21" i="17" a="1"/>
  <c r="P11" i="17" a="1"/>
  <c r="P12" i="17" a="1"/>
  <c r="P20" i="17" a="1"/>
  <c r="P9" i="17" a="1"/>
  <c r="P10" i="17" a="1"/>
  <c r="P17" i="17" a="1"/>
  <c r="P14" i="17" a="1"/>
  <c r="P16" i="17" a="1"/>
  <c r="P19" i="17" a="1"/>
  <c r="P13" i="17" a="1"/>
  <c r="P15" i="17" a="1"/>
  <c r="T15" i="17" l="1"/>
  <c r="Q15" i="17"/>
  <c r="V15" i="17"/>
  <c r="R15" i="17"/>
  <c r="S15" i="17"/>
  <c r="P15" i="17"/>
  <c r="U15" i="17"/>
  <c r="T13" i="17"/>
  <c r="P13" i="17"/>
  <c r="R13" i="17"/>
  <c r="U13" i="17"/>
  <c r="Q13" i="17"/>
  <c r="V13" i="17"/>
  <c r="S13" i="17"/>
  <c r="T19" i="17"/>
  <c r="R19" i="17"/>
  <c r="Q19" i="17"/>
  <c r="U19" i="17"/>
  <c r="S19" i="17"/>
  <c r="V19" i="17"/>
  <c r="P19" i="17"/>
  <c r="V16" i="17"/>
  <c r="Q16" i="17"/>
  <c r="P16" i="17"/>
  <c r="R16" i="17"/>
  <c r="T16" i="17"/>
  <c r="S16" i="17"/>
  <c r="U16" i="17"/>
  <c r="T14" i="17"/>
  <c r="V14" i="17"/>
  <c r="S14" i="17"/>
  <c r="U14" i="17"/>
  <c r="R14" i="17"/>
  <c r="P14" i="17"/>
  <c r="Q14" i="17"/>
  <c r="R17" i="17"/>
  <c r="Q17" i="17"/>
  <c r="P17" i="17"/>
  <c r="V17" i="17"/>
  <c r="T17" i="17"/>
  <c r="S17" i="17"/>
  <c r="U17" i="17"/>
  <c r="Q10" i="17"/>
  <c r="S10" i="17"/>
  <c r="V10" i="17"/>
  <c r="U10" i="17"/>
  <c r="T10" i="17"/>
  <c r="P10" i="17"/>
  <c r="R10" i="17"/>
  <c r="P9" i="17"/>
  <c r="U9" i="17"/>
  <c r="Q9" i="17"/>
  <c r="T9" i="17"/>
  <c r="S9" i="17"/>
  <c r="R9" i="17"/>
  <c r="V9" i="17"/>
  <c r="P20" i="17"/>
  <c r="Q20" i="17"/>
  <c r="V20" i="17"/>
  <c r="T20" i="17"/>
  <c r="U20" i="17"/>
  <c r="R20" i="17"/>
  <c r="S20" i="17"/>
  <c r="V12" i="17"/>
  <c r="Q12" i="17"/>
  <c r="S12" i="17"/>
  <c r="P12" i="17"/>
  <c r="T12" i="17"/>
  <c r="R12" i="17"/>
  <c r="U12" i="17"/>
  <c r="U11" i="17"/>
  <c r="V11" i="17"/>
  <c r="R11" i="17"/>
  <c r="S11" i="17"/>
  <c r="P11" i="17"/>
  <c r="Q11" i="17"/>
  <c r="T11" i="17"/>
  <c r="Q21" i="17"/>
  <c r="T21" i="17"/>
  <c r="U21" i="17"/>
  <c r="R21" i="17"/>
  <c r="P21" i="17"/>
  <c r="V21" i="17"/>
  <c r="S21" i="17"/>
  <c r="V6" i="17"/>
  <c r="P6" i="17"/>
  <c r="Q6" i="17"/>
  <c r="T6" i="17"/>
  <c r="S6" i="17"/>
  <c r="U6" i="17"/>
  <c r="R6" i="17"/>
  <c r="U18" i="17"/>
  <c r="P18" i="17"/>
  <c r="R18" i="17"/>
  <c r="S18" i="17"/>
  <c r="V18" i="17"/>
  <c r="Q18" i="17"/>
  <c r="T18" i="17"/>
  <c r="U7" i="17"/>
  <c r="S7" i="17"/>
  <c r="Q7" i="17"/>
  <c r="R7" i="17"/>
  <c r="V7" i="17"/>
  <c r="P7" i="17"/>
  <c r="T7" i="17"/>
  <c r="P8" i="17"/>
  <c r="V8" i="17"/>
  <c r="U8" i="17"/>
  <c r="R8" i="17"/>
  <c r="T8" i="17"/>
  <c r="Q8" i="17"/>
  <c r="S8" i="17"/>
</calcChain>
</file>

<file path=xl/sharedStrings.xml><?xml version="1.0" encoding="utf-8"?>
<sst xmlns="http://schemas.openxmlformats.org/spreadsheetml/2006/main" count="46" uniqueCount="36">
  <si>
    <t>№</t>
  </si>
  <si>
    <t>Сводные данные по составу воды и пластовым условиям для скважин</t>
  </si>
  <si>
    <t>Концентрация ионов, мг/л</t>
  </si>
  <si>
    <t>рН</t>
  </si>
  <si>
    <t>Ca2+</t>
  </si>
  <si>
    <t>Mg2+</t>
  </si>
  <si>
    <t>Общая масса соли, г/л</t>
  </si>
  <si>
    <t>Температура, °С</t>
  </si>
  <si>
    <t>Масса кальцита, г/л</t>
  </si>
  <si>
    <t>Скважина</t>
  </si>
  <si>
    <t>Дата отбора</t>
  </si>
  <si>
    <r>
      <t>Плотность, г/см</t>
    </r>
    <r>
      <rPr>
        <b/>
        <vertAlign val="superscript"/>
        <sz val="11"/>
        <color theme="1"/>
        <rFont val="Calibri"/>
        <family val="2"/>
        <charset val="204"/>
        <scheme val="minor"/>
      </rPr>
      <t>3</t>
    </r>
  </si>
  <si>
    <r>
      <t>Cl</t>
    </r>
    <r>
      <rPr>
        <b/>
        <vertAlign val="superscript"/>
        <sz val="11"/>
        <color theme="1"/>
        <rFont val="Calibri"/>
        <family val="2"/>
        <charset val="204"/>
        <scheme val="minor"/>
      </rPr>
      <t>-</t>
    </r>
  </si>
  <si>
    <r>
      <t>SO</t>
    </r>
    <r>
      <rPr>
        <b/>
        <vertAlign val="subscript"/>
        <sz val="11"/>
        <color theme="1"/>
        <rFont val="Calibri"/>
        <family val="2"/>
        <charset val="204"/>
        <scheme val="minor"/>
      </rPr>
      <t>4</t>
    </r>
    <r>
      <rPr>
        <b/>
        <vertAlign val="superscript"/>
        <sz val="11"/>
        <color theme="1"/>
        <rFont val="Calibri"/>
        <family val="2"/>
        <charset val="204"/>
        <scheme val="minor"/>
      </rPr>
      <t>2-</t>
    </r>
  </si>
  <si>
    <r>
      <t>HCO3</t>
    </r>
    <r>
      <rPr>
        <b/>
        <vertAlign val="superscript"/>
        <sz val="11"/>
        <color theme="1"/>
        <rFont val="Calibri"/>
        <family val="2"/>
        <charset val="204"/>
        <scheme val="minor"/>
      </rPr>
      <t>-</t>
    </r>
  </si>
  <si>
    <r>
      <t>Na</t>
    </r>
    <r>
      <rPr>
        <b/>
        <vertAlign val="superscript"/>
        <sz val="11"/>
        <color theme="1"/>
        <rFont val="Calibri"/>
        <family val="2"/>
        <charset val="204"/>
        <scheme val="minor"/>
      </rPr>
      <t>+</t>
    </r>
    <r>
      <rPr>
        <b/>
        <sz val="11"/>
        <color theme="1"/>
        <rFont val="Calibri"/>
        <family val="2"/>
        <charset val="204"/>
        <scheme val="minor"/>
      </rPr>
      <t>+K</t>
    </r>
    <r>
      <rPr>
        <b/>
        <vertAlign val="superscript"/>
        <sz val="11"/>
        <color theme="1"/>
        <rFont val="Calibri"/>
        <family val="2"/>
        <charset val="204"/>
        <scheme val="minor"/>
      </rPr>
      <t>+</t>
    </r>
  </si>
  <si>
    <r>
      <t>Ba</t>
    </r>
    <r>
      <rPr>
        <b/>
        <vertAlign val="superscript"/>
        <sz val="11"/>
        <color theme="1"/>
        <rFont val="Calibri"/>
        <family val="2"/>
        <charset val="204"/>
        <scheme val="minor"/>
      </rPr>
      <t>2+</t>
    </r>
  </si>
  <si>
    <r>
      <t>Sr</t>
    </r>
    <r>
      <rPr>
        <b/>
        <vertAlign val="superscript"/>
        <sz val="11"/>
        <color theme="1"/>
        <rFont val="Calibri"/>
        <family val="2"/>
        <charset val="204"/>
        <scheme val="minor"/>
      </rPr>
      <t>2+</t>
    </r>
  </si>
  <si>
    <t>Масса гипса, г/л</t>
  </si>
  <si>
    <t>Масса ангидрита, г/л</t>
  </si>
  <si>
    <t>Масса бассанита, г/л</t>
  </si>
  <si>
    <t>Масса барита, г/л</t>
  </si>
  <si>
    <t>Масса целестина, г/л</t>
  </si>
  <si>
    <t>Давление, атм</t>
  </si>
  <si>
    <t>1002</t>
  </si>
  <si>
    <t>1015</t>
  </si>
  <si>
    <t>1039</t>
  </si>
  <si>
    <t>1041</t>
  </si>
  <si>
    <t>1044</t>
  </si>
  <si>
    <t>1056</t>
  </si>
  <si>
    <t>1068</t>
  </si>
  <si>
    <t>1077</t>
  </si>
  <si>
    <t>1078</t>
  </si>
  <si>
    <t>1087</t>
  </si>
  <si>
    <t>109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</si>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</sst>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0.0"/>
    <numFmt numFmtId="165" formatCode="0.000"/>
    <numFmt numFmtId="166" formatCode="_(* #,##0_);_(* \(#,##0\);_(* &quot;-&quot;_);_(@_)"/>
  </numFmts>
  <fonts count="8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0"/>
      <name val="Arial Cyr"/>
      <family val="2"/>
      <charset val="204"/>
    </font>
    <font>
      <sz val="12"/>
      <name val="Arial Cyr"/>
      <charset val="204"/>
    </font>
    <font>
      <b/>
      <vertAlign val="superscript"/>
      <sz val="11"/>
      <color theme="1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sz val="24"/>
      <color theme="1"/>
      <name val="Calibri"/>
      <family val="2"/>
      <charset val="204"/>
      <scheme val="minor"/>
    </font>
    <font>
      <b/>
      <vertAlign val="subscript"/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0" fontId="2" fillId="0" borderId="0">
      <alignment horizontal="center"/>
    </xf>
    <xf numFmtId="166" fontId="3" fillId="0" borderId="0"/>
  </cellStyleXfs>
  <cellXfs count="24">
    <xf numFmtId="0" fontId="0" fillId="0" borderId="0" xfId="0"/>
    <xf numFmtId="0" fontId="0" fillId="0" borderId="0" xfId="0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0" fillId="0" borderId="3" xfId="0" applyBorder="1" applyAlignment="1">
      <alignment horizontal="center" vertical="center"/>
    </xf>
    <xf numFmtId="14" fontId="0" fillId="0" borderId="3" xfId="0" applyNumberForma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2" fontId="5" fillId="0" borderId="3" xfId="0" applyNumberFormat="1" applyFont="1" applyBorder="1" applyAlignment="1">
      <alignment horizontal="center" vertical="center"/>
    </xf>
    <xf numFmtId="165" fontId="5" fillId="0" borderId="3" xfId="0" applyNumberFormat="1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14" fontId="0" fillId="0" borderId="4" xfId="0" applyNumberFormat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2" fontId="5" fillId="0" borderId="4" xfId="0" applyNumberFormat="1" applyFont="1" applyBorder="1" applyAlignment="1">
      <alignment horizontal="center" vertical="center"/>
    </xf>
    <xf numFmtId="165" fontId="5" fillId="0" borderId="4" xfId="0" applyNumberFormat="1" applyFont="1" applyBorder="1" applyAlignment="1">
      <alignment horizontal="center" vertical="center"/>
    </xf>
    <xf numFmtId="0" fontId="0" fillId="0" borderId="4" xfId="0" applyBorder="1" applyAlignment="1">
      <alignment horizontal="center"/>
    </xf>
    <xf numFmtId="165" fontId="0" fillId="0" borderId="4" xfId="0" applyNumberFormat="1" applyBorder="1" applyAlignment="1">
      <alignment horizontal="center" vertical="center"/>
    </xf>
    <xf numFmtId="0" fontId="1" fillId="0" borderId="2" xfId="0" applyFont="1" applyBorder="1" applyAlignment="1">
      <alignment horizontal="center" vertical="center" wrapText="1"/>
    </xf>
    <xf numFmtId="164" fontId="1" fillId="0" borderId="2" xfId="0" applyNumberFormat="1" applyFont="1" applyBorder="1" applyAlignment="1">
      <alignment horizontal="center" vertical="center" wrapText="1"/>
    </xf>
    <xf numFmtId="165" fontId="0" fillId="0" borderId="0" xfId="0" applyNumberFormat="1"/>
    <xf numFmtId="0" fontId="6" fillId="0" borderId="0" xfId="0" applyFont="1" applyAlignment="1">
      <alignment horizontal="center"/>
    </xf>
    <xf numFmtId="0" fontId="6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 vertical="center" wrapText="1"/>
    </xf>
    <xf numFmtId="14" fontId="1" fillId="0" borderId="2" xfId="0" applyNumberFormat="1" applyFont="1" applyBorder="1" applyAlignment="1">
      <alignment horizontal="center" vertical="center" wrapText="1"/>
    </xf>
    <xf numFmtId="0" fontId="1" fillId="0" borderId="2" xfId="0" applyFont="1" applyBorder="1" applyAlignment="1">
      <alignment horizontal="center" vertical="center" textRotation="90" wrapText="1"/>
    </xf>
    <xf numFmtId="165" fontId="1" fillId="0" borderId="2" xfId="0" applyNumberFormat="1" applyFont="1" applyBorder="1" applyAlignment="1">
      <alignment horizontal="center" vertical="center" textRotation="90" wrapText="1"/>
    </xf>
  </cellXfs>
  <cellStyles count="3">
    <cellStyle name="Обычный" xfId="0" builtinId="0"/>
    <cellStyle name="Обычный 10" xfId="2" xr:uid="{00000000-0005-0000-0000-000002000000}"/>
    <cellStyle name="Обычный 2" xfId="1" xr:uid="{00000000-0005-0000-0000-000003000000}"/>
  </cellStyles>
  <dxfs count="0"/>
  <tableStyles count="1" defaultTableStyle="TableStyleMedium9" defaultPivotStyle="PivotStyleLight16">
    <tableStyle name="Стиль таблицы 1" pivot="0" count="0" xr9:uid="{00000000-0011-0000-FFFF-FFFF00000000}"/>
  </tableStyles>
  <colors>
    <mruColors>
      <color rgb="FF32D000"/>
      <color rgb="FF66FF33"/>
      <color rgb="FF95FF2B"/>
      <color rgb="FF0033CC"/>
      <color rgb="FF474747"/>
      <color rgb="FF409E00"/>
      <color rgb="FFFFFF00"/>
      <color rgb="FF696969"/>
      <color rgb="FFFFFF99"/>
      <color rgb="FFDAA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5"/>
  <dimension ref="A1:AC25"/>
  <sheetViews>
    <sheetView tabSelected="1" workbookViewId="0">
      <pane ySplit="5" topLeftCell="A6" activePane="bottomLeft" state="frozenSplit"/>
      <selection pane="bottomLeft" activeCell="A6" sqref="A6:O15"/>
    </sheetView>
  </sheetViews>
  <sheetFormatPr baseColWidth="10" defaultColWidth="8.83203125" defaultRowHeight="15"/>
  <cols>
    <col min="1" max="1" width="3.6640625" customWidth="1"/>
    <col min="2" max="2" width="8.1640625" style="1" customWidth="1"/>
    <col min="3" max="3" width="11.33203125" style="2" customWidth="1"/>
    <col min="5" max="5" width="7.6640625" customWidth="1"/>
    <col min="6" max="6" width="8.1640625" customWidth="1"/>
    <col min="7" max="7" width="8.33203125" customWidth="1"/>
    <col min="8" max="8" width="7.6640625" customWidth="1"/>
    <col min="9" max="9" width="8.83203125" customWidth="1"/>
    <col min="10" max="10" width="6.33203125" customWidth="1"/>
    <col min="11" max="11" width="5.6640625" customWidth="1"/>
    <col min="12" max="12" width="6.33203125" customWidth="1"/>
    <col min="13" max="13" width="7.33203125" customWidth="1"/>
    <col min="14" max="22" width="6.6640625" customWidth="1"/>
  </cols>
  <sheetData>
    <row r="1" spans="1:29" ht="15" customHeight="1">
      <c r="A1" s="18" t="s">
        <v>1</v>
      </c>
      <c r="B1" s="18"/>
      <c r="C1" s="18"/>
      <c r="D1" s="18"/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  <c r="R1" s="18"/>
      <c r="S1" s="18"/>
      <c r="T1" s="18"/>
      <c r="U1" s="18"/>
      <c r="V1" s="18"/>
    </row>
    <row r="2" spans="1:29" ht="15.75" customHeight="1" thickBot="1">
      <c r="A2" s="19"/>
      <c r="B2" s="19"/>
      <c r="C2" s="19"/>
      <c r="D2" s="19"/>
      <c r="E2" s="19"/>
      <c r="F2" s="19"/>
      <c r="G2" s="19"/>
      <c r="H2" s="19"/>
      <c r="I2" s="19"/>
      <c r="J2" s="19"/>
      <c r="K2" s="19"/>
      <c r="L2" s="19"/>
      <c r="M2" s="19"/>
      <c r="N2" s="19"/>
      <c r="O2" s="19"/>
      <c r="P2" s="19"/>
      <c r="Q2" s="19"/>
      <c r="R2" s="19"/>
      <c r="S2" s="19"/>
      <c r="T2" s="19"/>
      <c r="U2" s="19"/>
      <c r="V2" s="19"/>
    </row>
    <row r="3" spans="1:29" ht="31.5" customHeight="1" thickBot="1">
      <c r="A3" s="20" t="s">
        <v>0</v>
      </c>
      <c r="B3" s="20" t="s">
        <v>9</v>
      </c>
      <c r="C3" s="21" t="s">
        <v>10</v>
      </c>
      <c r="D3" s="20" t="s">
        <v>2</v>
      </c>
      <c r="E3" s="20"/>
      <c r="F3" s="20"/>
      <c r="G3" s="20"/>
      <c r="H3" s="20"/>
      <c r="I3" s="20"/>
      <c r="J3" s="20"/>
      <c r="K3" s="20"/>
      <c r="L3" s="20" t="s">
        <v>3</v>
      </c>
      <c r="M3" s="23" t="s">
        <v>11</v>
      </c>
      <c r="N3" s="22" t="s">
        <v>7</v>
      </c>
      <c r="O3" s="22" t="s">
        <v>23</v>
      </c>
      <c r="P3" s="22" t="s">
        <v>6</v>
      </c>
      <c r="Q3" s="22" t="s">
        <v>8</v>
      </c>
      <c r="R3" s="22" t="s">
        <v>18</v>
      </c>
      <c r="S3" s="22" t="s">
        <v>19</v>
      </c>
      <c r="T3" s="22" t="s">
        <v>20</v>
      </c>
      <c r="U3" s="22" t="s">
        <v>21</v>
      </c>
      <c r="V3" s="22" t="s">
        <v>22</v>
      </c>
      <c r="W3" t="s">
        <v>6</v>
      </c>
      <c r="X3" t="s">
        <v>8</v>
      </c>
      <c r="Y3" t="s">
        <v>18</v>
      </c>
      <c r="Z3" t="s">
        <v>19</v>
      </c>
      <c r="AA3" t="s">
        <v>20</v>
      </c>
      <c r="AB3" t="s">
        <v>21</v>
      </c>
      <c r="AC3" t="s">
        <v>22</v>
      </c>
    </row>
    <row r="4" spans="1:29" ht="56.25" customHeight="1" thickBot="1">
      <c r="A4" s="20"/>
      <c r="B4" s="20"/>
      <c r="C4" s="21"/>
      <c r="D4" s="15" t="s">
        <v>12</v>
      </c>
      <c r="E4" s="15" t="s">
        <v>13</v>
      </c>
      <c r="F4" s="15" t="s">
        <v>14</v>
      </c>
      <c r="G4" s="15" t="s">
        <v>4</v>
      </c>
      <c r="H4" s="15" t="s">
        <v>5</v>
      </c>
      <c r="I4" s="15" t="s">
        <v>15</v>
      </c>
      <c r="J4" s="16" t="s">
        <v>16</v>
      </c>
      <c r="K4" s="16" t="s">
        <v>17</v>
      </c>
      <c r="L4" s="20"/>
      <c r="M4" s="23"/>
      <c r="N4" s="22"/>
      <c r="O4" s="22"/>
      <c r="P4" s="22"/>
      <c r="Q4" s="22"/>
      <c r="R4" s="22"/>
      <c r="S4" s="22"/>
      <c r="T4" s="22"/>
      <c r="U4" s="22"/>
      <c r="V4" s="22"/>
    </row>
    <row r="5" spans="1:29" ht="16" thickBot="1">
      <c r="A5" s="15">
        <v>1</v>
      </c>
      <c r="B5" s="15">
        <v>2</v>
      </c>
      <c r="C5" s="15">
        <v>3</v>
      </c>
      <c r="D5" s="15">
        <v>4</v>
      </c>
      <c r="E5" s="15">
        <v>5</v>
      </c>
      <c r="F5" s="15">
        <v>6</v>
      </c>
      <c r="G5" s="15">
        <v>7</v>
      </c>
      <c r="H5" s="15">
        <v>8</v>
      </c>
      <c r="I5" s="15">
        <v>9</v>
      </c>
      <c r="J5" s="15">
        <v>10</v>
      </c>
      <c r="K5" s="15">
        <v>11</v>
      </c>
      <c r="L5" s="15">
        <v>12</v>
      </c>
      <c r="M5" s="15">
        <v>13</v>
      </c>
      <c r="N5" s="15">
        <v>14</v>
      </c>
      <c r="O5" s="15">
        <v>15</v>
      </c>
      <c r="P5" s="15">
        <v>16</v>
      </c>
      <c r="Q5" s="15">
        <v>17</v>
      </c>
      <c r="R5" s="15">
        <v>18</v>
      </c>
      <c r="S5" s="15">
        <v>19</v>
      </c>
      <c r="T5" s="15">
        <v>20</v>
      </c>
      <c r="U5" s="15">
        <v>21</v>
      </c>
      <c r="V5" s="15">
        <v>22</v>
      </c>
      <c r="W5">
        <v>16</v>
      </c>
      <c r="X5">
        <v>17</v>
      </c>
      <c r="Y5">
        <v>18</v>
      </c>
      <c r="Z5">
        <v>19</v>
      </c>
      <c r="AA5">
        <v>20</v>
      </c>
      <c r="AB5">
        <v>21</v>
      </c>
      <c r="AC5">
        <v>22</v>
      </c>
    </row>
    <row r="6" spans="1:29">
      <c r="A6" s="8">
        <v>1</v>
      </c>
      <c r="B6" s="8">
        <v>1001</v>
      </c>
      <c r="C6" s="9">
        <v>44336</v>
      </c>
      <c r="D6" s="10">
        <v>12556.39</v>
      </c>
      <c r="E6" s="10">
        <v>0</v>
      </c>
      <c r="F6" s="10">
        <v>213.5</v>
      </c>
      <c r="G6" s="10">
        <v>501</v>
      </c>
      <c r="H6" s="10">
        <v>62.5</v>
      </c>
      <c r="I6" s="10">
        <v>7537.1</v>
      </c>
      <c r="J6" s="8">
        <v>0</v>
      </c>
      <c r="K6" s="8">
        <v>0</v>
      </c>
      <c r="L6" s="11">
        <v>8.0100002288818395</v>
      </c>
      <c r="M6" s="12">
        <v>1.01300001144409</v>
      </c>
      <c r="N6" s="13">
        <v>60</v>
      </c>
      <c r="O6" s="13">
        <v>30</v>
      </c>
      <c r="P6" s="14">
        <f t="array" ref="P6:V6">calcOddoTomson(D6,E6,F6,G6,H6,I6,J6,K6,L6,N6,O6)</f>
        <v>0.34380403149986294</v>
      </c>
      <c r="Q6" s="14">
        <v>0.34380403149986294</v>
      </c>
      <c r="R6" s="14">
        <v>0</v>
      </c>
      <c r="S6" s="14">
        <v>0</v>
      </c>
      <c r="T6" s="14">
        <v>0</v>
      </c>
      <c r="U6" s="14">
        <v>0</v>
      </c>
      <c r="V6" s="14">
        <v>0</v>
      </c>
      <c r="W6" s="17">
        <v>0.34380403149986294</v>
      </c>
      <c r="X6" s="17">
        <v>0.34380403149986294</v>
      </c>
      <c r="Y6" s="17">
        <v>0</v>
      </c>
      <c r="Z6" s="17">
        <v>0</v>
      </c>
      <c r="AA6" s="17">
        <v>0</v>
      </c>
      <c r="AB6" s="17">
        <v>0</v>
      </c>
      <c r="AC6" s="17">
        <v>0</v>
      </c>
    </row>
    <row r="7" spans="1:29">
      <c r="A7" s="3">
        <v>2</v>
      </c>
      <c r="B7" s="3" t="s">
        <v>24</v>
      </c>
      <c r="C7" s="4">
        <v>44335</v>
      </c>
      <c r="D7" s="5">
        <v>11838.88</v>
      </c>
      <c r="E7" s="5">
        <v>0</v>
      </c>
      <c r="F7" s="5">
        <v>384.3</v>
      </c>
      <c r="G7" s="5">
        <v>460.92</v>
      </c>
      <c r="H7" s="5">
        <v>50</v>
      </c>
      <c r="I7" s="5">
        <v>7204.98</v>
      </c>
      <c r="J7" s="3">
        <v>0</v>
      </c>
      <c r="K7" s="3">
        <v>0</v>
      </c>
      <c r="L7" s="6">
        <v>7.4800000190734899</v>
      </c>
      <c r="M7" s="7">
        <v>1.0110000371932999</v>
      </c>
      <c r="N7" s="13">
        <v>60</v>
      </c>
      <c r="O7" s="13">
        <v>30</v>
      </c>
      <c r="P7" s="14">
        <f t="array" ref="P7:V7">calcOddoTomson(D7,E7,F7,G7,H7,I7,J7,K7,L7,N7,O7)</f>
        <v>0.58906725329441456</v>
      </c>
      <c r="Q7" s="14">
        <v>0.58906725329441456</v>
      </c>
      <c r="R7" s="14">
        <v>0</v>
      </c>
      <c r="S7" s="14">
        <v>0</v>
      </c>
      <c r="T7" s="14">
        <v>0</v>
      </c>
      <c r="U7" s="14">
        <v>0</v>
      </c>
      <c r="V7" s="14">
        <v>0</v>
      </c>
      <c r="W7" s="17">
        <v>0.58906725329441456</v>
      </c>
      <c r="X7" s="17">
        <v>0.58906725329441456</v>
      </c>
      <c r="Y7" s="17">
        <v>0</v>
      </c>
      <c r="Z7" s="17">
        <v>0</v>
      </c>
      <c r="AA7" s="17">
        <v>0</v>
      </c>
      <c r="AB7" s="17">
        <v>0</v>
      </c>
      <c r="AC7" s="17">
        <v>0</v>
      </c>
    </row>
    <row r="8" spans="1:29">
      <c r="A8" s="3">
        <v>3</v>
      </c>
      <c r="B8" s="3" t="s">
        <v>25</v>
      </c>
      <c r="C8" s="4">
        <v>44533</v>
      </c>
      <c r="D8" s="5">
        <v>12113.27</v>
      </c>
      <c r="E8" s="5">
        <v>0</v>
      </c>
      <c r="F8" s="5">
        <v>213.5</v>
      </c>
      <c r="G8" s="5">
        <v>1162.32</v>
      </c>
      <c r="H8" s="5">
        <v>24.3</v>
      </c>
      <c r="I8" s="5">
        <v>6559.6</v>
      </c>
      <c r="J8" s="3">
        <v>0</v>
      </c>
      <c r="K8" s="3">
        <v>0</v>
      </c>
      <c r="L8" s="6">
        <v>7.3000001907348597</v>
      </c>
      <c r="M8" s="7">
        <v>1.0099999904632599</v>
      </c>
      <c r="N8" s="13">
        <v>60</v>
      </c>
      <c r="O8" s="13">
        <v>30</v>
      </c>
      <c r="P8" s="14">
        <f t="array" ref="P8:V8">calcOddoTomson(D8,E8,F8,G8,H8,I8,J8,K8,L8,N8,O8)</f>
        <v>0.33596003710937505</v>
      </c>
      <c r="Q8" s="14">
        <v>0.33596003710937505</v>
      </c>
      <c r="R8" s="14">
        <v>0</v>
      </c>
      <c r="S8" s="14">
        <v>0</v>
      </c>
      <c r="T8" s="14">
        <v>0</v>
      </c>
      <c r="U8" s="14">
        <v>0</v>
      </c>
      <c r="V8" s="14">
        <v>0</v>
      </c>
      <c r="W8" s="17">
        <v>0.33596003710937505</v>
      </c>
      <c r="X8" s="17">
        <v>0.33596003710937505</v>
      </c>
      <c r="Y8" s="17">
        <v>0</v>
      </c>
      <c r="Z8" s="17">
        <v>0</v>
      </c>
      <c r="AA8" s="17">
        <v>0</v>
      </c>
      <c r="AB8" s="17">
        <v>0</v>
      </c>
      <c r="AC8" s="17">
        <v>0</v>
      </c>
    </row>
    <row r="9" spans="1:29">
      <c r="A9" s="3">
        <v>4</v>
      </c>
      <c r="B9" s="3" t="s">
        <v>25</v>
      </c>
      <c r="C9" s="4">
        <v>44541</v>
      </c>
      <c r="D9" s="5">
        <v>9975.6299999999992</v>
      </c>
      <c r="E9" s="5">
        <v>0</v>
      </c>
      <c r="F9" s="5">
        <v>207.4</v>
      </c>
      <c r="G9" s="5">
        <v>521.04</v>
      </c>
      <c r="H9" s="5">
        <v>36.450000000000003</v>
      </c>
      <c r="I9" s="5">
        <v>5883.4</v>
      </c>
      <c r="J9" s="3">
        <v>0</v>
      </c>
      <c r="K9" s="3">
        <v>0</v>
      </c>
      <c r="L9" s="6">
        <v>7.1900000572204599</v>
      </c>
      <c r="M9" s="7">
        <v>1.00899994373322</v>
      </c>
      <c r="N9" s="13">
        <v>60</v>
      </c>
      <c r="O9" s="13">
        <v>30</v>
      </c>
      <c r="P9" s="14">
        <f t="array" ref="P9:V9">calcOddoTomson(D9,E9,F9,G9,H9,I9,J9,K9,L9,N9,O9)</f>
        <v>0.29732018530566384</v>
      </c>
      <c r="Q9" s="14">
        <v>0.29732018530566384</v>
      </c>
      <c r="R9" s="14">
        <v>0</v>
      </c>
      <c r="S9" s="14">
        <v>0</v>
      </c>
      <c r="T9" s="14">
        <v>0</v>
      </c>
      <c r="U9" s="14">
        <v>0</v>
      </c>
      <c r="V9" s="14">
        <v>0</v>
      </c>
      <c r="W9" s="17">
        <v>0.29732018530566384</v>
      </c>
      <c r="X9" s="17">
        <v>0.29732018530566384</v>
      </c>
      <c r="Y9" s="17">
        <v>0</v>
      </c>
      <c r="Z9" s="17">
        <v>0</v>
      </c>
      <c r="AA9" s="17">
        <v>0</v>
      </c>
      <c r="AB9" s="17">
        <v>0</v>
      </c>
      <c r="AC9" s="17">
        <v>0</v>
      </c>
    </row>
    <row r="10" spans="1:29">
      <c r="A10" s="3">
        <v>5</v>
      </c>
      <c r="B10" s="3" t="s">
        <v>25</v>
      </c>
      <c r="C10" s="4">
        <v>44553</v>
      </c>
      <c r="D10" s="5">
        <v>11756.99</v>
      </c>
      <c r="E10" s="5">
        <v>0</v>
      </c>
      <c r="F10" s="5">
        <v>231.8</v>
      </c>
      <c r="G10" s="5">
        <v>741.48</v>
      </c>
      <c r="H10" s="5">
        <v>36.450000000000003</v>
      </c>
      <c r="I10" s="5">
        <v>6795.35</v>
      </c>
      <c r="J10" s="3">
        <v>0</v>
      </c>
      <c r="K10" s="3">
        <v>0</v>
      </c>
      <c r="L10" s="6">
        <v>7.1100001335143999</v>
      </c>
      <c r="M10" s="7">
        <v>1.0099999904632599</v>
      </c>
      <c r="N10" s="13">
        <v>60</v>
      </c>
      <c r="O10" s="13">
        <v>30</v>
      </c>
      <c r="P10" s="14">
        <f t="array" ref="P10:V10">calcOddoTomson(D10,E10,F10,G10,H10,I10,J10,K10,L10,N10,O10)</f>
        <v>0.34275463239850817</v>
      </c>
      <c r="Q10" s="14">
        <v>0.34275463239850817</v>
      </c>
      <c r="R10" s="14">
        <v>0</v>
      </c>
      <c r="S10" s="14">
        <v>0</v>
      </c>
      <c r="T10" s="14">
        <v>0</v>
      </c>
      <c r="U10" s="14">
        <v>0</v>
      </c>
      <c r="V10" s="14">
        <v>0</v>
      </c>
      <c r="W10" s="17">
        <v>0.34275463239850817</v>
      </c>
      <c r="X10" s="17">
        <v>0.34275463239850817</v>
      </c>
      <c r="Y10" s="17">
        <v>0</v>
      </c>
      <c r="Z10" s="17">
        <v>0</v>
      </c>
      <c r="AA10" s="17">
        <v>0</v>
      </c>
      <c r="AB10" s="17">
        <v>0</v>
      </c>
      <c r="AC10" s="17">
        <v>0</v>
      </c>
    </row>
    <row r="11" spans="1:29">
      <c r="A11" s="3">
        <v>6</v>
      </c>
      <c r="B11" s="3" t="s">
        <v>26</v>
      </c>
      <c r="C11" s="4">
        <v>44552</v>
      </c>
      <c r="D11" s="5">
        <v>12113.27</v>
      </c>
      <c r="E11" s="5">
        <v>0</v>
      </c>
      <c r="F11" s="5">
        <v>195.2</v>
      </c>
      <c r="G11" s="5">
        <v>601.20000000000005</v>
      </c>
      <c r="H11" s="5">
        <v>24.3</v>
      </c>
      <c r="I11" s="5">
        <v>7196.7</v>
      </c>
      <c r="J11" s="3">
        <v>0</v>
      </c>
      <c r="K11" s="3">
        <v>0</v>
      </c>
      <c r="L11" s="6">
        <v>7.2399997711181596</v>
      </c>
      <c r="M11" s="7">
        <v>1.0099999904632599</v>
      </c>
      <c r="N11" s="13">
        <v>60</v>
      </c>
      <c r="O11" s="13">
        <v>30</v>
      </c>
      <c r="P11" s="14">
        <f t="array" ref="P11:V11">calcOddoTomson(D11,E11,F11,G11,H11,I11,J11,K11,L11,N11,O11)</f>
        <v>0.28295773335134872</v>
      </c>
      <c r="Q11" s="14">
        <v>0.28295773335134872</v>
      </c>
      <c r="R11" s="14">
        <v>0</v>
      </c>
      <c r="S11" s="14">
        <v>0</v>
      </c>
      <c r="T11" s="14">
        <v>0</v>
      </c>
      <c r="U11" s="14">
        <v>0</v>
      </c>
      <c r="V11" s="14">
        <v>0</v>
      </c>
      <c r="W11" s="17">
        <v>0.28295773335134872</v>
      </c>
      <c r="X11" s="17">
        <v>0.28295773335134872</v>
      </c>
      <c r="Y11" s="17">
        <v>0</v>
      </c>
      <c r="Z11" s="17">
        <v>0</v>
      </c>
      <c r="AA11" s="17">
        <v>0</v>
      </c>
      <c r="AB11" s="17">
        <v>0</v>
      </c>
      <c r="AC11" s="17">
        <v>0</v>
      </c>
    </row>
    <row r="12" spans="1:29">
      <c r="A12" s="3">
        <v>7</v>
      </c>
      <c r="B12" s="3" t="s">
        <v>27</v>
      </c>
      <c r="C12" s="4">
        <v>44334</v>
      </c>
      <c r="D12" s="5">
        <v>10762.62</v>
      </c>
      <c r="E12" s="5">
        <v>0</v>
      </c>
      <c r="F12" s="5">
        <v>176.9</v>
      </c>
      <c r="G12" s="5">
        <v>541.08000000000004</v>
      </c>
      <c r="H12" s="5">
        <v>25</v>
      </c>
      <c r="I12" s="5">
        <v>6382.5</v>
      </c>
      <c r="J12" s="3">
        <v>0</v>
      </c>
      <c r="K12" s="3">
        <v>0</v>
      </c>
      <c r="L12" s="6">
        <v>7.3800001144409197</v>
      </c>
      <c r="M12" s="7">
        <v>1.0099999904632599</v>
      </c>
      <c r="N12" s="13">
        <v>60</v>
      </c>
      <c r="O12" s="13">
        <v>30</v>
      </c>
      <c r="P12" s="14">
        <f t="array" ref="P12:V12">calcOddoTomson(D12,E12,F12,G12,H12,I12,J12,K12,L12,N12,O12)</f>
        <v>0.26398073050762916</v>
      </c>
      <c r="Q12" s="14">
        <v>0.26398073050762916</v>
      </c>
      <c r="R12" s="14">
        <v>0</v>
      </c>
      <c r="S12" s="14">
        <v>0</v>
      </c>
      <c r="T12" s="14">
        <v>0</v>
      </c>
      <c r="U12" s="14">
        <v>0</v>
      </c>
      <c r="V12" s="14">
        <v>0</v>
      </c>
      <c r="W12" s="17">
        <v>0.26398073050762916</v>
      </c>
      <c r="X12" s="17">
        <v>0.26398073050762916</v>
      </c>
      <c r="Y12" s="17">
        <v>0</v>
      </c>
      <c r="Z12" s="17">
        <v>0</v>
      </c>
      <c r="AA12" s="17">
        <v>0</v>
      </c>
      <c r="AB12" s="17">
        <v>0</v>
      </c>
      <c r="AC12" s="17">
        <v>0</v>
      </c>
    </row>
    <row r="13" spans="1:29">
      <c r="A13" s="3">
        <v>8</v>
      </c>
      <c r="B13" s="3" t="s">
        <v>28</v>
      </c>
      <c r="C13" s="4">
        <v>44647</v>
      </c>
      <c r="D13" s="5">
        <v>12197.64</v>
      </c>
      <c r="E13" s="5">
        <v>0</v>
      </c>
      <c r="F13" s="5">
        <v>225.7</v>
      </c>
      <c r="G13" s="5">
        <v>841.68</v>
      </c>
      <c r="H13" s="5">
        <v>24.3</v>
      </c>
      <c r="I13" s="5">
        <v>6986.94</v>
      </c>
      <c r="J13" s="3">
        <v>0</v>
      </c>
      <c r="K13" s="3">
        <v>0</v>
      </c>
      <c r="L13" s="6">
        <v>7.0599999427795401</v>
      </c>
      <c r="M13" s="7">
        <v>1.0110000371932999</v>
      </c>
      <c r="N13" s="13">
        <v>60</v>
      </c>
      <c r="O13" s="13">
        <v>30</v>
      </c>
      <c r="P13" s="14">
        <f t="array" ref="P13:V13">calcOddoTomson(D13,E13,F13,G13,H13,I13,J13,K13,L13,N13,O13)</f>
        <v>0.3325399551342767</v>
      </c>
      <c r="Q13" s="14">
        <v>0.3325399551342767</v>
      </c>
      <c r="R13" s="14">
        <v>0</v>
      </c>
      <c r="S13" s="14">
        <v>0</v>
      </c>
      <c r="T13" s="14">
        <v>0</v>
      </c>
      <c r="U13" s="14">
        <v>0</v>
      </c>
      <c r="V13" s="14">
        <v>0</v>
      </c>
      <c r="W13" s="17">
        <v>0.3325399551342767</v>
      </c>
      <c r="X13" s="17">
        <v>0.3325399551342767</v>
      </c>
      <c r="Y13" s="17">
        <v>0</v>
      </c>
      <c r="Z13" s="17">
        <v>0</v>
      </c>
      <c r="AA13" s="17">
        <v>0</v>
      </c>
      <c r="AB13" s="17">
        <v>0</v>
      </c>
      <c r="AC13" s="17">
        <v>0</v>
      </c>
    </row>
    <row r="14" spans="1:29">
      <c r="A14" s="3">
        <v>9</v>
      </c>
      <c r="B14" s="3" t="s">
        <v>29</v>
      </c>
      <c r="C14" s="4">
        <v>44533</v>
      </c>
      <c r="D14" s="5">
        <v>12113.27</v>
      </c>
      <c r="E14" s="5">
        <v>0</v>
      </c>
      <c r="F14" s="5">
        <v>280.60000000000002</v>
      </c>
      <c r="G14" s="5">
        <v>641.28</v>
      </c>
      <c r="H14" s="5">
        <v>36.450000000000003</v>
      </c>
      <c r="I14" s="5">
        <v>7159.9</v>
      </c>
      <c r="J14" s="3">
        <v>0</v>
      </c>
      <c r="K14" s="3">
        <v>0</v>
      </c>
      <c r="L14" s="6">
        <v>7.1500000953674299</v>
      </c>
      <c r="M14" s="7">
        <v>1.00899994373322</v>
      </c>
      <c r="N14" s="13">
        <v>60</v>
      </c>
      <c r="O14" s="13">
        <v>30</v>
      </c>
      <c r="P14" s="14">
        <f t="array" ref="P14:V14">calcOddoTomson(D14,E14,F14,G14,H14,I14,J14,K14,L14,N14,O14)</f>
        <v>0.41536600510644572</v>
      </c>
      <c r="Q14" s="14">
        <v>0.41536600510644572</v>
      </c>
      <c r="R14" s="14">
        <v>0</v>
      </c>
      <c r="S14" s="14">
        <v>0</v>
      </c>
      <c r="T14" s="14">
        <v>0</v>
      </c>
      <c r="U14" s="14">
        <v>0</v>
      </c>
      <c r="V14" s="14">
        <v>0</v>
      </c>
      <c r="W14" s="17">
        <v>0.41536600510644572</v>
      </c>
      <c r="X14" s="17">
        <v>0.41536600510644572</v>
      </c>
      <c r="Y14" s="17">
        <v>0</v>
      </c>
      <c r="Z14" s="17">
        <v>0</v>
      </c>
      <c r="AA14" s="17">
        <v>0</v>
      </c>
      <c r="AB14" s="17">
        <v>0</v>
      </c>
      <c r="AC14" s="17">
        <v>0</v>
      </c>
    </row>
    <row r="15" spans="1:29">
      <c r="A15" s="3">
        <v>10</v>
      </c>
      <c r="B15" s="3" t="s">
        <v>30</v>
      </c>
      <c r="C15" s="4">
        <v>44541</v>
      </c>
      <c r="D15" s="5">
        <v>10688.18</v>
      </c>
      <c r="E15" s="5">
        <v>0</v>
      </c>
      <c r="F15" s="5">
        <v>195.2</v>
      </c>
      <c r="G15" s="5">
        <v>641.28</v>
      </c>
      <c r="H15" s="5">
        <v>36.450000000000003</v>
      </c>
      <c r="I15" s="5">
        <v>6203.1</v>
      </c>
      <c r="J15" s="3">
        <v>0</v>
      </c>
      <c r="K15" s="3">
        <v>0</v>
      </c>
      <c r="L15" s="6">
        <v>7.1300001144409197</v>
      </c>
      <c r="M15" s="7">
        <v>1.0099999904632599</v>
      </c>
      <c r="N15" s="13">
        <v>60</v>
      </c>
      <c r="O15" s="13">
        <v>30</v>
      </c>
      <c r="P15" s="14">
        <f t="array" ref="P15:V15">calcOddoTomson(D15,E15,F15,G15,H15,I15,J15,K15,L15,N15,O15)</f>
        <v>0.27881655334326216</v>
      </c>
      <c r="Q15" s="14">
        <v>0.27881655334326216</v>
      </c>
      <c r="R15" s="14">
        <v>0</v>
      </c>
      <c r="S15" s="14">
        <v>0</v>
      </c>
      <c r="T15" s="14">
        <v>0</v>
      </c>
      <c r="U15" s="14">
        <v>0</v>
      </c>
      <c r="V15" s="14">
        <v>0</v>
      </c>
      <c r="W15" s="17">
        <v>0.27881655334326216</v>
      </c>
      <c r="X15" s="17">
        <v>0.27881655334326216</v>
      </c>
      <c r="Y15" s="17">
        <v>0</v>
      </c>
      <c r="Z15" s="17">
        <v>0</v>
      </c>
      <c r="AA15" s="17">
        <v>0</v>
      </c>
      <c r="AB15" s="17">
        <v>0</v>
      </c>
      <c r="AC15" s="17">
        <v>0</v>
      </c>
    </row>
    <row r="16" spans="1:29">
      <c r="A16" s="3">
        <v>11</v>
      </c>
      <c r="B16" s="3" t="s">
        <v>31</v>
      </c>
      <c r="C16" s="4">
        <v>44547</v>
      </c>
      <c r="D16" s="5">
        <v>9619.36</v>
      </c>
      <c r="E16" s="5">
        <v>0</v>
      </c>
      <c r="F16" s="5">
        <v>311.10000000000002</v>
      </c>
      <c r="G16" s="5">
        <v>360.72</v>
      </c>
      <c r="H16" s="5">
        <v>24.3</v>
      </c>
      <c r="I16" s="5">
        <v>5898.35</v>
      </c>
      <c r="J16" s="3">
        <v>0</v>
      </c>
      <c r="K16" s="3">
        <v>0</v>
      </c>
      <c r="L16" s="6">
        <v>7.8200001716613796</v>
      </c>
      <c r="M16" s="7">
        <v>1.00899994373322</v>
      </c>
      <c r="N16" s="13">
        <v>60</v>
      </c>
      <c r="O16" s="13">
        <v>30</v>
      </c>
      <c r="P16" s="14">
        <f t="array" ref="P16:V16">calcOddoTomson(D16,E16,F16,G16,H16,I16,J16,K16,L16,N16,O16)</f>
        <v>0.48848748694473337</v>
      </c>
      <c r="Q16" s="14">
        <v>0.48848748694473337</v>
      </c>
      <c r="R16" s="14">
        <v>0</v>
      </c>
      <c r="S16" s="14">
        <v>0</v>
      </c>
      <c r="T16" s="14">
        <v>0</v>
      </c>
      <c r="U16" s="14">
        <v>0</v>
      </c>
      <c r="V16" s="14">
        <v>0</v>
      </c>
      <c r="W16" s="17">
        <v>0.48848748694473337</v>
      </c>
      <c r="X16" s="17">
        <v>0.48848748694473337</v>
      </c>
      <c r="Y16" s="17">
        <v>0</v>
      </c>
      <c r="Z16" s="17">
        <v>0</v>
      </c>
      <c r="AA16" s="17">
        <v>0</v>
      </c>
      <c r="AB16" s="17">
        <v>0</v>
      </c>
      <c r="AC16" s="17">
        <v>0</v>
      </c>
    </row>
    <row r="17" spans="1:29">
      <c r="A17" s="3">
        <v>12</v>
      </c>
      <c r="B17" s="3" t="s">
        <v>32</v>
      </c>
      <c r="C17" s="4">
        <v>44310</v>
      </c>
      <c r="D17" s="5">
        <v>9290.74</v>
      </c>
      <c r="E17" s="5">
        <v>0</v>
      </c>
      <c r="F17" s="5">
        <v>292.8</v>
      </c>
      <c r="G17" s="5">
        <v>320.64</v>
      </c>
      <c r="H17" s="5">
        <v>75</v>
      </c>
      <c r="I17" s="5">
        <v>5632.24</v>
      </c>
      <c r="J17" s="3">
        <v>0</v>
      </c>
      <c r="K17" s="3">
        <v>0</v>
      </c>
      <c r="L17" s="6">
        <v>7.5900001525878897</v>
      </c>
      <c r="M17" s="7">
        <v>1.0069999694824201</v>
      </c>
      <c r="N17" s="13">
        <v>60</v>
      </c>
      <c r="O17" s="13">
        <v>30</v>
      </c>
      <c r="P17" s="14">
        <f t="array" ref="P17:V17">calcOddoTomson(D17,E17,F17,G17,H17,I17,J17,K17,L17,N17,O17)</f>
        <v>0.43458781640625072</v>
      </c>
      <c r="Q17" s="14">
        <v>0.43458781640625072</v>
      </c>
      <c r="R17" s="14">
        <v>0</v>
      </c>
      <c r="S17" s="14">
        <v>0</v>
      </c>
      <c r="T17" s="14">
        <v>0</v>
      </c>
      <c r="U17" s="14">
        <v>0</v>
      </c>
      <c r="V17" s="14">
        <v>0</v>
      </c>
      <c r="W17" s="17">
        <v>0.43458781640625072</v>
      </c>
      <c r="X17" s="17">
        <v>0.43458781640625072</v>
      </c>
      <c r="Y17" s="17">
        <v>0</v>
      </c>
      <c r="Z17" s="17">
        <v>0</v>
      </c>
      <c r="AA17" s="17">
        <v>0</v>
      </c>
      <c r="AB17" s="17">
        <v>0</v>
      </c>
      <c r="AC17" s="17">
        <v>0</v>
      </c>
    </row>
    <row r="18" spans="1:29">
      <c r="A18" s="8">
        <v>13</v>
      </c>
      <c r="B18" s="3" t="s">
        <v>33</v>
      </c>
      <c r="C18" s="4">
        <v>44335</v>
      </c>
      <c r="D18" s="5">
        <v>11838.88</v>
      </c>
      <c r="E18" s="5">
        <v>0</v>
      </c>
      <c r="F18" s="5">
        <v>396.5</v>
      </c>
      <c r="G18" s="5">
        <v>480.96</v>
      </c>
      <c r="H18" s="5">
        <v>50</v>
      </c>
      <c r="I18" s="5">
        <v>7186.58</v>
      </c>
      <c r="J18" s="3">
        <v>0</v>
      </c>
      <c r="K18" s="3">
        <v>0</v>
      </c>
      <c r="L18" s="6">
        <v>7.4800000190734899</v>
      </c>
      <c r="M18" s="7">
        <v>1.00899994373322</v>
      </c>
      <c r="N18" s="13">
        <v>60</v>
      </c>
      <c r="O18" s="13">
        <v>30</v>
      </c>
      <c r="P18" s="14">
        <f t="array" ref="P18:V18">calcOddoTomson(D18,E18,F18,G18,H18,I18,J18,K18,L18,N18,O18)</f>
        <v>0.60942311430063667</v>
      </c>
      <c r="Q18" s="14">
        <v>0.60942311430063667</v>
      </c>
      <c r="R18" s="14">
        <v>0</v>
      </c>
      <c r="S18" s="14">
        <v>0</v>
      </c>
      <c r="T18" s="14">
        <v>0</v>
      </c>
      <c r="U18" s="14">
        <v>0</v>
      </c>
      <c r="V18" s="14">
        <v>0</v>
      </c>
      <c r="W18" s="17">
        <v>0.60942311430063667</v>
      </c>
      <c r="X18" s="17">
        <v>0.60942311430063667</v>
      </c>
      <c r="Y18" s="17">
        <v>0</v>
      </c>
      <c r="Z18" s="17">
        <v>0</v>
      </c>
      <c r="AA18" s="17">
        <v>0</v>
      </c>
      <c r="AB18" s="17">
        <v>0</v>
      </c>
      <c r="AC18" s="17">
        <v>0</v>
      </c>
    </row>
    <row r="19" spans="1:29">
      <c r="A19" s="3">
        <v>14</v>
      </c>
      <c r="B19" s="3" t="s">
        <v>33</v>
      </c>
      <c r="C19" s="4">
        <v>44366</v>
      </c>
      <c r="D19" s="5">
        <v>11099.4</v>
      </c>
      <c r="E19" s="5">
        <v>0</v>
      </c>
      <c r="F19" s="5">
        <v>170.8</v>
      </c>
      <c r="G19" s="5">
        <v>501</v>
      </c>
      <c r="H19" s="5">
        <v>48.6</v>
      </c>
      <c r="I19" s="5">
        <v>6598.7</v>
      </c>
      <c r="J19" s="3">
        <v>0</v>
      </c>
      <c r="K19" s="3">
        <v>0</v>
      </c>
      <c r="L19" s="6">
        <v>7.3400001525878897</v>
      </c>
      <c r="M19" s="7">
        <v>1.00000004749745E-3</v>
      </c>
      <c r="N19" s="13">
        <v>60</v>
      </c>
      <c r="O19" s="13">
        <v>30</v>
      </c>
      <c r="P19" s="14">
        <f t="array" ref="P19:V19">calcOddoTomson(D19,E19,F19,G19,H19,I19,J19,K19,L19,N19,O19)</f>
        <v>0.24660478110650608</v>
      </c>
      <c r="Q19" s="14">
        <v>0.24660478110650608</v>
      </c>
      <c r="R19" s="14">
        <v>0</v>
      </c>
      <c r="S19" s="14">
        <v>0</v>
      </c>
      <c r="T19" s="14">
        <v>0</v>
      </c>
      <c r="U19" s="14">
        <v>0</v>
      </c>
      <c r="V19" s="14">
        <v>0</v>
      </c>
      <c r="W19" s="17">
        <v>0.24660478110650608</v>
      </c>
      <c r="X19" s="17">
        <v>0.24660478110650608</v>
      </c>
      <c r="Y19" s="17">
        <v>0</v>
      </c>
      <c r="Z19" s="17">
        <v>0</v>
      </c>
      <c r="AA19" s="17">
        <v>0</v>
      </c>
      <c r="AB19" s="17">
        <v>0</v>
      </c>
      <c r="AC19" s="17">
        <v>0</v>
      </c>
    </row>
    <row r="20" spans="1:29">
      <c r="A20" s="3">
        <v>15</v>
      </c>
      <c r="B20" s="3" t="s">
        <v>34</v>
      </c>
      <c r="C20" s="4">
        <v>44592</v>
      </c>
      <c r="D20" s="5">
        <v>11838.88</v>
      </c>
      <c r="E20" s="5">
        <v>0</v>
      </c>
      <c r="F20" s="5">
        <v>164.7</v>
      </c>
      <c r="G20" s="5">
        <v>641.28</v>
      </c>
      <c r="H20" s="5">
        <v>60.75</v>
      </c>
      <c r="I20" s="5">
        <v>6892.18</v>
      </c>
      <c r="J20" s="3">
        <v>0</v>
      </c>
      <c r="K20" s="3">
        <v>0</v>
      </c>
      <c r="L20" s="6">
        <v>7.42000007629394</v>
      </c>
      <c r="M20" s="7">
        <v>1.0110000371932999</v>
      </c>
      <c r="N20" s="13">
        <v>60</v>
      </c>
      <c r="O20" s="13">
        <v>30</v>
      </c>
      <c r="P20" s="14">
        <f t="array" ref="P20:V20">calcOddoTomson(D20,E20,F20,G20,H20,I20,J20,K20,L20,N20,O20)</f>
        <v>0.24849717527561144</v>
      </c>
      <c r="Q20" s="14">
        <v>0.24849717527561144</v>
      </c>
      <c r="R20" s="14">
        <v>0</v>
      </c>
      <c r="S20" s="14">
        <v>0</v>
      </c>
      <c r="T20" s="14">
        <v>0</v>
      </c>
      <c r="U20" s="14">
        <v>0</v>
      </c>
      <c r="V20" s="14">
        <v>0</v>
      </c>
      <c r="W20" s="17">
        <v>0.24849717527561144</v>
      </c>
      <c r="X20" s="17">
        <v>0.24849717527561144</v>
      </c>
      <c r="Y20" s="17">
        <v>0</v>
      </c>
      <c r="Z20" s="17">
        <v>0</v>
      </c>
      <c r="AA20" s="17">
        <v>0</v>
      </c>
      <c r="AB20" s="17">
        <v>0</v>
      </c>
      <c r="AC20" s="17">
        <v>0</v>
      </c>
    </row>
    <row r="21" spans="1:29">
      <c r="A21" s="3"/>
      <c r="B21" s="3"/>
      <c r="C21" s="4"/>
      <c r="D21" s="5">
        <v>11321.31</v>
      </c>
      <c r="E21" s="5">
        <v>1000</v>
      </c>
      <c r="F21" s="5">
        <v>292.8</v>
      </c>
      <c r="G21" s="5">
        <v>3000</v>
      </c>
      <c r="H21" s="5">
        <v>48.6</v>
      </c>
      <c r="I21" s="5">
        <v>6949.68</v>
      </c>
      <c r="J21" s="3">
        <v>100</v>
      </c>
      <c r="K21" s="3">
        <v>100</v>
      </c>
      <c r="L21" s="6">
        <v>7.4000000953674299</v>
      </c>
      <c r="M21" s="7">
        <v>1.0069999694824201</v>
      </c>
      <c r="N21" s="13">
        <v>60</v>
      </c>
      <c r="O21" s="13">
        <v>30</v>
      </c>
      <c r="P21" s="14">
        <f t="array" ref="P21:V21">calcOddoTomson(D21,E21,F21,G21,H21,I21,J21,K21,L21,N21,O21)</f>
        <v>0.70984620599952475</v>
      </c>
      <c r="Q21" s="14">
        <v>0.47517280546875024</v>
      </c>
      <c r="R21" s="14">
        <v>0</v>
      </c>
      <c r="S21" s="14">
        <v>0</v>
      </c>
      <c r="T21" s="14">
        <v>0</v>
      </c>
      <c r="U21" s="14">
        <v>0.16928588982742312</v>
      </c>
      <c r="V21" s="14">
        <v>6.5387510703351401E-2</v>
      </c>
      <c r="W21" s="17">
        <v>0.70984620599952475</v>
      </c>
      <c r="X21" s="17">
        <v>0.47517280546875024</v>
      </c>
      <c r="Y21" s="17">
        <v>0</v>
      </c>
      <c r="Z21" s="17">
        <v>0</v>
      </c>
      <c r="AA21" s="17">
        <v>0</v>
      </c>
      <c r="AB21" s="17">
        <v>0.16928588982742312</v>
      </c>
      <c r="AC21" s="17">
        <v>6.5387510703351401E-2</v>
      </c>
    </row>
    <row r="25" spans="1:29">
      <c r="O25" t="s">
        <v>35</v>
      </c>
    </row>
  </sheetData>
  <autoFilter ref="A5:V5" xr:uid="{00000000-0009-0000-0000-000000000000}"/>
  <mergeCells count="16">
    <mergeCell ref="A1:V2"/>
    <mergeCell ref="B3:B4"/>
    <mergeCell ref="C3:C4"/>
    <mergeCell ref="V3:V4"/>
    <mergeCell ref="R3:R4"/>
    <mergeCell ref="S3:S4"/>
    <mergeCell ref="T3:T4"/>
    <mergeCell ref="U3:U4"/>
    <mergeCell ref="N3:N4"/>
    <mergeCell ref="O3:O4"/>
    <mergeCell ref="P3:P4"/>
    <mergeCell ref="Q3:Q4"/>
    <mergeCell ref="D3:K3"/>
    <mergeCell ref="L3:L4"/>
    <mergeCell ref="M3:M4"/>
    <mergeCell ref="A3:A4"/>
  </mergeCells>
  <conditionalFormatting sqref="P6:P21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0" orientation="portrait" horizontalDpi="0" verticalDpi="0" copie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Расчеты солей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KostinDenis</dc:creator>
  <cp:lastModifiedBy>Microsoft Office User</cp:lastModifiedBy>
  <cp:lastPrinted>2021-06-24T05:45:22Z</cp:lastPrinted>
  <dcterms:created xsi:type="dcterms:W3CDTF">2021-06-24T05:45:22Z</dcterms:created>
  <dcterms:modified xsi:type="dcterms:W3CDTF">2025-11-24T21:10:35Z</dcterms:modified>
</cp:coreProperties>
</file>